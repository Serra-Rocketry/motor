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-pros" sheetId="1" r:id="rId4"/>
    <sheet state="visible" name="Densidades" sheetId="2" r:id="rId5"/>
    <sheet state="visible" name="Canudos" sheetId="3" r:id="rId6"/>
  </sheets>
  <definedNames/>
  <calcPr/>
  <extLst>
    <ext uri="GoogleSheetsCustomDataVersion2">
      <go:sheetsCustomData xmlns:go="http://customooxmlschemas.google.com/" r:id="rId7" roundtripDataChecksum="h+3A/q1elqae4xLZLCuNu+ynnKQqfHKcCz7ov578K0c="/>
    </ext>
  </extLst>
</workbook>
</file>

<file path=xl/sharedStrings.xml><?xml version="1.0" encoding="utf-8"?>
<sst xmlns="http://schemas.openxmlformats.org/spreadsheetml/2006/main" count="96" uniqueCount="33">
  <si>
    <t>24 Horas de Estufa</t>
  </si>
  <si>
    <t>Método 1</t>
  </si>
  <si>
    <t>Método 2</t>
  </si>
  <si>
    <t>Método 3</t>
  </si>
  <si>
    <t>Método 4</t>
  </si>
  <si>
    <t>Comprimento (cm)</t>
  </si>
  <si>
    <t>tempo de queima (s)</t>
  </si>
  <si>
    <t>Peso antes (g)</t>
  </si>
  <si>
    <t>Peso depois (g)</t>
  </si>
  <si>
    <t>Velocidade de queima (cm/s)</t>
  </si>
  <si>
    <t>Taxa de Secagem (%)</t>
  </si>
  <si>
    <t>Velocidade Média (cm/s)</t>
  </si>
  <si>
    <t>Taxa de Secagem Média (%)</t>
  </si>
  <si>
    <t>48 Horas de Estufa</t>
  </si>
  <si>
    <t>72 Horas de Estufa</t>
  </si>
  <si>
    <t>72 Horas de Estufa Oxidos</t>
  </si>
  <si>
    <t>Método 1 Zn</t>
  </si>
  <si>
    <t>Método 1 Ni</t>
  </si>
  <si>
    <t>Densidade</t>
  </si>
  <si>
    <t>Massa Seca (g)</t>
  </si>
  <si>
    <t xml:space="preserve"> Massa Imersa (g)</t>
  </si>
  <si>
    <t>Massa Umida (g)</t>
  </si>
  <si>
    <t>VA (cm^3)</t>
  </si>
  <si>
    <t>VAS (cm^3)</t>
  </si>
  <si>
    <t>MEA (g/cm^3)</t>
  </si>
  <si>
    <t>PA</t>
  </si>
  <si>
    <t>Indeter</t>
  </si>
  <si>
    <t>A (%)</t>
  </si>
  <si>
    <t>MEAS (g/cm^3)</t>
  </si>
  <si>
    <t>Densidade oxidos</t>
  </si>
  <si>
    <t>Massa Imersa (g)</t>
  </si>
  <si>
    <t>Tubo - Oxidos</t>
  </si>
  <si>
    <t>Tubo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</si>
</sst>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F4B083"/>
        <bgColor rgb="FFF4B083"/>
      </patternFill>
    </fill>
    <fill>
      <patternFill patternType="solid">
        <fgColor rgb="FF4A1C9C"/>
        <bgColor rgb="FF4A1C9C"/>
      </patternFill>
    </fill>
    <fill>
      <patternFill patternType="solid">
        <fgColor rgb="FF9B95C9"/>
        <bgColor rgb="FF9B95C9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</fills>
  <borders count="10">
    <border/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2" fillId="4" fontId="3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Alignment="1" applyBorder="1" applyFont="1">
      <alignment horizontal="center"/>
    </xf>
    <xf borderId="6" fillId="4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horizontal="center"/>
    </xf>
    <xf borderId="6" fillId="4" fontId="3" numFmtId="0" xfId="0" applyBorder="1" applyFont="1"/>
    <xf borderId="6" fillId="2" fontId="3" numFmtId="164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2" fillId="5" fontId="1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/>
    </xf>
    <xf borderId="6" fillId="6" fontId="3" numFmtId="0" xfId="0" applyBorder="1" applyFont="1"/>
    <xf borderId="2" fillId="7" fontId="1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2" fillId="8" fontId="3" numFmtId="0" xfId="0" applyAlignment="1" applyBorder="1" applyFill="1" applyFont="1">
      <alignment horizontal="center"/>
    </xf>
    <xf borderId="7" fillId="2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center"/>
    </xf>
    <xf borderId="6" fillId="8" fontId="3" numFmtId="0" xfId="0" applyBorder="1" applyFont="1"/>
    <xf borderId="6" fillId="0" fontId="3" numFmtId="165" xfId="0" applyAlignment="1" applyBorder="1" applyFont="1" applyNumberFormat="1">
      <alignment horizontal="center"/>
    </xf>
    <xf borderId="6" fillId="0" fontId="3" numFmtId="164" xfId="0" applyBorder="1" applyFont="1" applyNumberFormat="1"/>
    <xf borderId="2" fillId="0" fontId="3" numFmtId="165" xfId="0" applyAlignment="1" applyBorder="1" applyFont="1" applyNumberFormat="1">
      <alignment horizontal="center"/>
    </xf>
    <xf borderId="0" fillId="0" fontId="4" numFmtId="0" xfId="0" applyFont="1"/>
    <xf borderId="0" fillId="0" fontId="1" numFmtId="0" xfId="0" applyFont="1"/>
    <xf borderId="0" fillId="2" fontId="5" numFmtId="0" xfId="0" applyFont="1"/>
    <xf borderId="2" fillId="3" fontId="5" numFmtId="0" xfId="0" applyAlignment="1" applyBorder="1" applyFont="1">
      <alignment horizontal="center"/>
    </xf>
    <xf borderId="2" fillId="4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6" fillId="4" fontId="6" numFmtId="0" xfId="0" applyBorder="1" applyFont="1"/>
    <xf borderId="6" fillId="0" fontId="6" numFmtId="164" xfId="0" applyAlignment="1" applyBorder="1" applyFont="1" applyNumberFormat="1">
      <alignment horizontal="center"/>
    </xf>
    <xf borderId="6" fillId="2" fontId="6" numFmtId="164" xfId="0" applyAlignment="1" applyBorder="1" applyFont="1" applyNumberFormat="1">
      <alignment horizontal="center"/>
    </xf>
    <xf borderId="2" fillId="9" fontId="1" numFmtId="0" xfId="0" applyAlignment="1" applyBorder="1" applyFill="1" applyFont="1">
      <alignment horizontal="center"/>
    </xf>
    <xf borderId="2" fillId="10" fontId="3" numFmtId="0" xfId="0" applyAlignment="1" applyBorder="1" applyFill="1" applyFont="1">
      <alignment horizontal="center"/>
    </xf>
    <xf borderId="6" fillId="10" fontId="3" numFmtId="0" xfId="0" applyBorder="1" applyFont="1"/>
    <xf borderId="0" fillId="0" fontId="3" numFmtId="0" xfId="0" applyAlignment="1" applyFont="1">
      <alignment horizontal="center"/>
    </xf>
    <xf borderId="6" fillId="10" fontId="3" numFmtId="0" xfId="0" applyAlignment="1" applyBorder="1" applyFont="1">
      <alignment readingOrder="0"/>
    </xf>
    <xf borderId="8" fillId="0" fontId="3" numFmtId="0" xfId="0" applyBorder="1" applyFont="1"/>
    <xf borderId="2" fillId="11" fontId="1" numFmtId="0" xfId="0" applyAlignment="1" applyBorder="1" applyFill="1" applyFont="1">
      <alignment horizontal="center" readingOrder="0"/>
    </xf>
    <xf borderId="9" fillId="0" fontId="3" numFmtId="0" xfId="0" applyBorder="1" applyFont="1"/>
    <xf borderId="6" fillId="1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14"/>
    <col customWidth="1" min="2" max="4" width="8.71"/>
    <col customWidth="1" min="5" max="5" width="10.29"/>
    <col customWidth="1" min="6" max="12" width="8.71"/>
    <col customWidth="1" min="13" max="13" width="10.43"/>
    <col customWidth="1" min="14" max="19" width="8.71"/>
    <col customWidth="1" min="20" max="20" width="28.43"/>
    <col customWidth="1" min="21" max="21" width="25.71"/>
    <col customWidth="1" min="22" max="22" width="12.71"/>
    <col customWidth="1" min="23" max="23" width="9.43"/>
    <col customWidth="1" min="24" max="32" width="8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5"/>
      <c r="B2" s="6" t="s">
        <v>1</v>
      </c>
      <c r="C2" s="3"/>
      <c r="D2" s="4"/>
      <c r="E2" s="6" t="s">
        <v>2</v>
      </c>
      <c r="F2" s="3"/>
      <c r="G2" s="4"/>
      <c r="H2" s="6" t="s">
        <v>3</v>
      </c>
      <c r="I2" s="3"/>
      <c r="J2" s="4"/>
      <c r="K2" s="6" t="s">
        <v>4</v>
      </c>
      <c r="L2" s="3"/>
      <c r="M2" s="4"/>
    </row>
    <row r="3">
      <c r="A3" s="7"/>
      <c r="B3" s="8">
        <v>1.0</v>
      </c>
      <c r="C3" s="8">
        <v>2.0</v>
      </c>
      <c r="D3" s="8">
        <v>3.0</v>
      </c>
      <c r="E3" s="8">
        <v>1.0</v>
      </c>
      <c r="F3" s="8">
        <v>2.0</v>
      </c>
      <c r="G3" s="8">
        <v>3.0</v>
      </c>
      <c r="H3" s="8">
        <v>1.0</v>
      </c>
      <c r="I3" s="8">
        <v>2.0</v>
      </c>
      <c r="J3" s="8">
        <v>3.0</v>
      </c>
      <c r="K3" s="8">
        <v>1.0</v>
      </c>
      <c r="L3" s="8">
        <v>2.0</v>
      </c>
      <c r="M3" s="8">
        <v>3.0</v>
      </c>
    </row>
    <row r="4">
      <c r="A4" s="9" t="s">
        <v>5</v>
      </c>
      <c r="B4" s="10">
        <v>5.8</v>
      </c>
      <c r="C4" s="10">
        <v>6.2</v>
      </c>
      <c r="D4" s="10">
        <v>6.0</v>
      </c>
      <c r="E4" s="10">
        <v>7.0</v>
      </c>
      <c r="F4" s="10">
        <v>5.5</v>
      </c>
      <c r="G4" s="10">
        <v>4.5</v>
      </c>
      <c r="H4" s="10">
        <v>5.0</v>
      </c>
      <c r="I4" s="10">
        <v>4.5</v>
      </c>
      <c r="J4" s="10">
        <v>4.5</v>
      </c>
      <c r="K4" s="10">
        <v>2.5</v>
      </c>
      <c r="L4" s="10">
        <v>5.0</v>
      </c>
      <c r="M4" s="10">
        <v>3.5</v>
      </c>
    </row>
    <row r="5">
      <c r="A5" s="9" t="s">
        <v>6</v>
      </c>
      <c r="B5" s="10">
        <v>35.0</v>
      </c>
      <c r="C5" s="10">
        <v>18.0</v>
      </c>
      <c r="D5" s="10">
        <v>24.0</v>
      </c>
      <c r="E5" s="10">
        <v>16.0</v>
      </c>
      <c r="F5" s="10">
        <v>29.0</v>
      </c>
      <c r="G5" s="10">
        <v>17.0</v>
      </c>
      <c r="H5" s="10">
        <v>45.0</v>
      </c>
      <c r="I5" s="10">
        <v>37.0</v>
      </c>
      <c r="J5" s="10">
        <v>41.0</v>
      </c>
      <c r="K5" s="10">
        <v>13.0</v>
      </c>
      <c r="L5" s="10">
        <v>23.0</v>
      </c>
      <c r="M5" s="10">
        <v>9.0</v>
      </c>
    </row>
    <row r="6">
      <c r="A6" s="9" t="s">
        <v>7</v>
      </c>
      <c r="B6" s="10">
        <v>5.76</v>
      </c>
      <c r="C6" s="10">
        <v>6.47</v>
      </c>
      <c r="D6" s="10">
        <v>5.75</v>
      </c>
      <c r="E6" s="10">
        <v>7.61</v>
      </c>
      <c r="F6" s="10">
        <v>6.29</v>
      </c>
      <c r="G6" s="10">
        <v>5.88</v>
      </c>
      <c r="H6" s="10">
        <v>7.58</v>
      </c>
      <c r="I6" s="10">
        <v>6.33</v>
      </c>
      <c r="J6" s="10">
        <v>5.14</v>
      </c>
      <c r="K6" s="10">
        <v>1.65</v>
      </c>
      <c r="L6" s="10">
        <v>4.78</v>
      </c>
      <c r="M6" s="10">
        <v>3.84</v>
      </c>
    </row>
    <row r="7">
      <c r="A7" s="9" t="s">
        <v>8</v>
      </c>
      <c r="B7" s="10">
        <v>5.75</v>
      </c>
      <c r="C7" s="10">
        <v>6.46</v>
      </c>
      <c r="D7" s="10">
        <v>5.72</v>
      </c>
      <c r="E7" s="10">
        <v>7.6</v>
      </c>
      <c r="F7" s="10">
        <v>6.28</v>
      </c>
      <c r="G7" s="10">
        <v>5.88</v>
      </c>
      <c r="H7" s="10">
        <v>7.54</v>
      </c>
      <c r="I7" s="10">
        <v>6.3</v>
      </c>
      <c r="J7" s="10">
        <v>5.1</v>
      </c>
      <c r="K7" s="10">
        <v>1.65</v>
      </c>
      <c r="L7" s="10">
        <v>4.77</v>
      </c>
      <c r="M7" s="10">
        <v>3.82</v>
      </c>
    </row>
    <row r="8">
      <c r="A8" s="9" t="s">
        <v>9</v>
      </c>
      <c r="B8" s="10">
        <f t="shared" ref="B8:M8" si="1">B4/B5</f>
        <v>0.1657142857</v>
      </c>
      <c r="C8" s="10">
        <f t="shared" si="1"/>
        <v>0.3444444444</v>
      </c>
      <c r="D8" s="10">
        <f t="shared" si="1"/>
        <v>0.25</v>
      </c>
      <c r="E8" s="10">
        <f t="shared" si="1"/>
        <v>0.4375</v>
      </c>
      <c r="F8" s="10">
        <f t="shared" si="1"/>
        <v>0.1896551724</v>
      </c>
      <c r="G8" s="10">
        <f t="shared" si="1"/>
        <v>0.2647058824</v>
      </c>
      <c r="H8" s="10">
        <f t="shared" si="1"/>
        <v>0.1111111111</v>
      </c>
      <c r="I8" s="10">
        <f t="shared" si="1"/>
        <v>0.1216216216</v>
      </c>
      <c r="J8" s="10">
        <f t="shared" si="1"/>
        <v>0.1097560976</v>
      </c>
      <c r="K8" s="10">
        <f t="shared" si="1"/>
        <v>0.1923076923</v>
      </c>
      <c r="L8" s="10">
        <f t="shared" si="1"/>
        <v>0.2173913043</v>
      </c>
      <c r="M8" s="10">
        <f t="shared" si="1"/>
        <v>0.3888888889</v>
      </c>
    </row>
    <row r="9">
      <c r="A9" s="11" t="s">
        <v>10</v>
      </c>
      <c r="B9" s="12">
        <f t="shared" ref="B9:M9" si="2"> 100 - (B7/B6)*100</f>
        <v>0.1736111111</v>
      </c>
      <c r="C9" s="12">
        <f t="shared" si="2"/>
        <v>0.1545595054</v>
      </c>
      <c r="D9" s="12">
        <f t="shared" si="2"/>
        <v>0.5217391304</v>
      </c>
      <c r="E9" s="12">
        <f t="shared" si="2"/>
        <v>0.1314060447</v>
      </c>
      <c r="F9" s="12">
        <f t="shared" si="2"/>
        <v>0.1589825119</v>
      </c>
      <c r="G9" s="12">
        <f t="shared" si="2"/>
        <v>0</v>
      </c>
      <c r="H9" s="12">
        <f t="shared" si="2"/>
        <v>0.5277044855</v>
      </c>
      <c r="I9" s="12">
        <f t="shared" si="2"/>
        <v>0.4739336493</v>
      </c>
      <c r="J9" s="12">
        <f t="shared" si="2"/>
        <v>0.7782101167</v>
      </c>
      <c r="K9" s="12">
        <f t="shared" si="2"/>
        <v>0</v>
      </c>
      <c r="L9" s="12">
        <f t="shared" si="2"/>
        <v>0.2092050209</v>
      </c>
      <c r="M9" s="12">
        <f t="shared" si="2"/>
        <v>0.5208333333</v>
      </c>
    </row>
    <row r="10">
      <c r="A10" s="11" t="s">
        <v>11</v>
      </c>
      <c r="B10" s="13">
        <f t="shared" ref="B10:B11" si="3">(B8+C8+D8)/3</f>
        <v>0.2533862434</v>
      </c>
      <c r="C10" s="3"/>
      <c r="D10" s="4"/>
      <c r="E10" s="13">
        <f t="shared" ref="E10:E11" si="4">(E8+F8+G8)/3</f>
        <v>0.2972870183</v>
      </c>
      <c r="F10" s="3"/>
      <c r="G10" s="4"/>
      <c r="H10" s="13">
        <f t="shared" ref="H10:H11" si="5">(H8+I8+J8)/3</f>
        <v>0.1141629434</v>
      </c>
      <c r="I10" s="3"/>
      <c r="J10" s="4"/>
      <c r="K10" s="13">
        <f t="shared" ref="K10:K11" si="6">(K8+L8+M8)/3</f>
        <v>0.2661959618</v>
      </c>
      <c r="L10" s="3"/>
      <c r="M10" s="4"/>
    </row>
    <row r="11">
      <c r="A11" s="11" t="s">
        <v>12</v>
      </c>
      <c r="B11" s="13">
        <f t="shared" si="3"/>
        <v>0.283303249</v>
      </c>
      <c r="C11" s="3"/>
      <c r="D11" s="4"/>
      <c r="E11" s="13">
        <f t="shared" si="4"/>
        <v>0.09679618553</v>
      </c>
      <c r="F11" s="3"/>
      <c r="G11" s="4"/>
      <c r="H11" s="13">
        <f t="shared" si="5"/>
        <v>0.5932827505</v>
      </c>
      <c r="I11" s="3"/>
      <c r="J11" s="4"/>
      <c r="K11" s="13">
        <f t="shared" si="6"/>
        <v>0.2433461181</v>
      </c>
      <c r="L11" s="3"/>
      <c r="M11" s="4"/>
    </row>
    <row r="12">
      <c r="A12" s="1"/>
      <c r="B12" s="14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</row>
    <row r="13">
      <c r="A13" s="5"/>
      <c r="B13" s="15" t="s">
        <v>1</v>
      </c>
      <c r="C13" s="3"/>
      <c r="D13" s="4"/>
      <c r="E13" s="15" t="s">
        <v>2</v>
      </c>
      <c r="F13" s="3"/>
      <c r="G13" s="4"/>
      <c r="H13" s="15" t="s">
        <v>3</v>
      </c>
      <c r="I13" s="3"/>
      <c r="J13" s="4"/>
      <c r="K13" s="15" t="s">
        <v>4</v>
      </c>
      <c r="L13" s="3"/>
      <c r="M13" s="4"/>
    </row>
    <row r="14">
      <c r="A14" s="7"/>
      <c r="B14" s="8">
        <v>1.0</v>
      </c>
      <c r="C14" s="8">
        <v>2.0</v>
      </c>
      <c r="D14" s="8">
        <v>3.0</v>
      </c>
      <c r="E14" s="8">
        <v>1.0</v>
      </c>
      <c r="F14" s="8">
        <v>2.0</v>
      </c>
      <c r="G14" s="8">
        <v>3.0</v>
      </c>
      <c r="H14" s="8">
        <v>1.0</v>
      </c>
      <c r="I14" s="8">
        <v>2.0</v>
      </c>
      <c r="J14" s="8">
        <v>3.0</v>
      </c>
      <c r="K14" s="8">
        <v>1.0</v>
      </c>
      <c r="L14" s="8">
        <v>2.0</v>
      </c>
      <c r="M14" s="8">
        <v>3.0</v>
      </c>
    </row>
    <row r="15">
      <c r="A15" s="16" t="s">
        <v>5</v>
      </c>
      <c r="B15" s="10">
        <v>6.0</v>
      </c>
      <c r="C15" s="10">
        <v>6.0</v>
      </c>
      <c r="D15" s="10">
        <v>5.0</v>
      </c>
      <c r="E15" s="10">
        <v>5.0</v>
      </c>
      <c r="F15" s="10">
        <v>3.5</v>
      </c>
      <c r="G15" s="10">
        <v>4.0</v>
      </c>
      <c r="H15" s="10">
        <v>3.6</v>
      </c>
      <c r="I15" s="10">
        <v>4.6</v>
      </c>
      <c r="J15" s="10">
        <v>5.0</v>
      </c>
      <c r="K15" s="10">
        <v>3.5</v>
      </c>
      <c r="L15" s="10">
        <v>3.5</v>
      </c>
      <c r="M15" s="10">
        <v>4.5</v>
      </c>
    </row>
    <row r="16">
      <c r="A16" s="16" t="s">
        <v>6</v>
      </c>
      <c r="B16" s="10">
        <v>32.0</v>
      </c>
      <c r="C16" s="10">
        <v>38.0</v>
      </c>
      <c r="D16" s="10">
        <v>29.0</v>
      </c>
      <c r="E16" s="10">
        <v>20.0</v>
      </c>
      <c r="F16" s="10">
        <v>13.0</v>
      </c>
      <c r="G16" s="10">
        <v>18.0</v>
      </c>
      <c r="H16" s="10">
        <v>53.0</v>
      </c>
      <c r="I16" s="10">
        <v>43.0</v>
      </c>
      <c r="J16" s="10">
        <v>51.0</v>
      </c>
      <c r="K16" s="10">
        <v>18.0</v>
      </c>
      <c r="L16" s="10">
        <v>16.0</v>
      </c>
      <c r="M16" s="10">
        <v>23.0</v>
      </c>
    </row>
    <row r="17">
      <c r="A17" s="16" t="s">
        <v>7</v>
      </c>
      <c r="B17" s="10">
        <v>6.38</v>
      </c>
      <c r="C17" s="10">
        <v>6.64</v>
      </c>
      <c r="D17" s="10">
        <v>4.48</v>
      </c>
      <c r="E17" s="10">
        <v>10.44</v>
      </c>
      <c r="F17" s="10">
        <v>6.31</v>
      </c>
      <c r="G17" s="10">
        <v>4.51</v>
      </c>
      <c r="H17" s="10">
        <v>7.81</v>
      </c>
      <c r="I17" s="10">
        <v>8.74</v>
      </c>
      <c r="J17" s="10">
        <v>5.47</v>
      </c>
      <c r="K17" s="10">
        <v>2.88</v>
      </c>
      <c r="L17" s="10">
        <v>5.8</v>
      </c>
      <c r="M17" s="10">
        <v>6.57</v>
      </c>
    </row>
    <row r="18">
      <c r="A18" s="16" t="s">
        <v>8</v>
      </c>
      <c r="B18" s="10">
        <v>6.37</v>
      </c>
      <c r="C18" s="10">
        <v>6.63</v>
      </c>
      <c r="D18" s="10">
        <v>4.46</v>
      </c>
      <c r="E18" s="10">
        <v>10.44</v>
      </c>
      <c r="F18" s="10">
        <v>6.29</v>
      </c>
      <c r="G18" s="10">
        <v>4.5</v>
      </c>
      <c r="H18" s="10">
        <v>7.8</v>
      </c>
      <c r="I18" s="10">
        <v>8.76</v>
      </c>
      <c r="J18" s="10">
        <v>5.45</v>
      </c>
      <c r="K18" s="10">
        <v>2.86</v>
      </c>
      <c r="L18" s="10">
        <v>5.8</v>
      </c>
      <c r="M18" s="10">
        <v>6.56</v>
      </c>
    </row>
    <row r="19">
      <c r="A19" s="16" t="s">
        <v>9</v>
      </c>
      <c r="B19" s="10">
        <f t="shared" ref="B19:M19" si="7">B15/B16</f>
        <v>0.1875</v>
      </c>
      <c r="C19" s="10">
        <f t="shared" si="7"/>
        <v>0.1578947368</v>
      </c>
      <c r="D19" s="10">
        <f t="shared" si="7"/>
        <v>0.1724137931</v>
      </c>
      <c r="E19" s="10">
        <f t="shared" si="7"/>
        <v>0.25</v>
      </c>
      <c r="F19" s="10">
        <f t="shared" si="7"/>
        <v>0.2692307692</v>
      </c>
      <c r="G19" s="10">
        <f t="shared" si="7"/>
        <v>0.2222222222</v>
      </c>
      <c r="H19" s="10">
        <f t="shared" si="7"/>
        <v>0.0679245283</v>
      </c>
      <c r="I19" s="10">
        <f t="shared" si="7"/>
        <v>0.1069767442</v>
      </c>
      <c r="J19" s="10">
        <f t="shared" si="7"/>
        <v>0.09803921569</v>
      </c>
      <c r="K19" s="10">
        <f t="shared" si="7"/>
        <v>0.1944444444</v>
      </c>
      <c r="L19" s="10">
        <f t="shared" si="7"/>
        <v>0.21875</v>
      </c>
      <c r="M19" s="10">
        <f t="shared" si="7"/>
        <v>0.1956521739</v>
      </c>
    </row>
    <row r="20">
      <c r="A20" s="16" t="s">
        <v>10</v>
      </c>
      <c r="B20" s="10">
        <f t="shared" ref="B20:M20" si="8"> 100 - (B18/B17)*100</f>
        <v>0.1567398119</v>
      </c>
      <c r="C20" s="10">
        <f t="shared" si="8"/>
        <v>0.1506024096</v>
      </c>
      <c r="D20" s="10">
        <f t="shared" si="8"/>
        <v>0.4464285714</v>
      </c>
      <c r="E20" s="10">
        <f t="shared" si="8"/>
        <v>0</v>
      </c>
      <c r="F20" s="10">
        <f t="shared" si="8"/>
        <v>0.3169572108</v>
      </c>
      <c r="G20" s="10">
        <f t="shared" si="8"/>
        <v>0.22172949</v>
      </c>
      <c r="H20" s="10">
        <f t="shared" si="8"/>
        <v>0.1280409731</v>
      </c>
      <c r="I20" s="10">
        <f t="shared" si="8"/>
        <v>-0.2288329519</v>
      </c>
      <c r="J20" s="10">
        <f t="shared" si="8"/>
        <v>0.365630713</v>
      </c>
      <c r="K20" s="10">
        <f t="shared" si="8"/>
        <v>0.6944444444</v>
      </c>
      <c r="L20" s="10">
        <f t="shared" si="8"/>
        <v>0</v>
      </c>
      <c r="M20" s="10">
        <f t="shared" si="8"/>
        <v>0.1522070015</v>
      </c>
    </row>
    <row r="21" ht="15.75" customHeight="1">
      <c r="A21" s="16" t="s">
        <v>11</v>
      </c>
      <c r="B21" s="13">
        <f t="shared" ref="B21:B22" si="9">(B19+C19+D19)/3</f>
        <v>0.1726028433</v>
      </c>
      <c r="C21" s="3"/>
      <c r="D21" s="4"/>
      <c r="E21" s="13">
        <f t="shared" ref="E21:E22" si="10">(E19+F19+G19)/3</f>
        <v>0.2471509972</v>
      </c>
      <c r="F21" s="3"/>
      <c r="G21" s="4"/>
      <c r="H21" s="13">
        <f t="shared" ref="H21:H22" si="11">(H19+I19+J19)/3</f>
        <v>0.09098016272</v>
      </c>
      <c r="I21" s="3"/>
      <c r="J21" s="4"/>
      <c r="K21" s="13">
        <f t="shared" ref="K21:K22" si="12">(K19+L19+M19)/3</f>
        <v>0.2029488728</v>
      </c>
      <c r="L21" s="3"/>
      <c r="M21" s="4"/>
    </row>
    <row r="22" ht="15.75" customHeight="1">
      <c r="A22" s="16" t="s">
        <v>12</v>
      </c>
      <c r="B22" s="13">
        <f t="shared" si="9"/>
        <v>0.251256931</v>
      </c>
      <c r="C22" s="3"/>
      <c r="D22" s="4"/>
      <c r="E22" s="13">
        <f t="shared" si="10"/>
        <v>0.1795622336</v>
      </c>
      <c r="F22" s="3"/>
      <c r="G22" s="4"/>
      <c r="H22" s="13">
        <f t="shared" si="11"/>
        <v>0.08827957805</v>
      </c>
      <c r="I22" s="3"/>
      <c r="J22" s="4"/>
      <c r="K22" s="13">
        <f t="shared" si="12"/>
        <v>0.2822171487</v>
      </c>
      <c r="L22" s="3"/>
      <c r="M22" s="4"/>
    </row>
    <row r="23" ht="15.75" customHeight="1">
      <c r="A23" s="1"/>
      <c r="B23" s="17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17" t="s">
        <v>15</v>
      </c>
      <c r="O23" s="3"/>
      <c r="P23" s="3"/>
      <c r="Q23" s="3"/>
      <c r="R23" s="3"/>
      <c r="S23" s="4"/>
    </row>
    <row r="24" ht="15.75" customHeight="1">
      <c r="A24" s="18"/>
      <c r="B24" s="19" t="s">
        <v>1</v>
      </c>
      <c r="C24" s="3"/>
      <c r="D24" s="4"/>
      <c r="E24" s="19" t="s">
        <v>2</v>
      </c>
      <c r="F24" s="3"/>
      <c r="G24" s="4"/>
      <c r="H24" s="19" t="s">
        <v>3</v>
      </c>
      <c r="I24" s="3"/>
      <c r="J24" s="4"/>
      <c r="K24" s="19" t="s">
        <v>4</v>
      </c>
      <c r="L24" s="3"/>
      <c r="M24" s="4"/>
      <c r="N24" s="19" t="s">
        <v>16</v>
      </c>
      <c r="O24" s="3"/>
      <c r="P24" s="4"/>
      <c r="Q24" s="19" t="s">
        <v>17</v>
      </c>
      <c r="R24" s="3"/>
      <c r="S24" s="4"/>
    </row>
    <row r="25" ht="15.75" customHeight="1">
      <c r="A25" s="20"/>
      <c r="B25" s="21">
        <v>1.0</v>
      </c>
      <c r="C25" s="21">
        <v>2.0</v>
      </c>
      <c r="D25" s="21">
        <v>3.0</v>
      </c>
      <c r="E25" s="21">
        <v>1.0</v>
      </c>
      <c r="F25" s="21">
        <v>2.0</v>
      </c>
      <c r="G25" s="21">
        <v>3.0</v>
      </c>
      <c r="H25" s="21">
        <v>1.0</v>
      </c>
      <c r="I25" s="21">
        <v>2.0</v>
      </c>
      <c r="J25" s="21">
        <v>3.0</v>
      </c>
      <c r="K25" s="21">
        <v>1.0</v>
      </c>
      <c r="L25" s="21">
        <v>2.0</v>
      </c>
      <c r="M25" s="21">
        <v>3.0</v>
      </c>
      <c r="N25" s="21">
        <v>1.0</v>
      </c>
      <c r="O25" s="21">
        <v>2.0</v>
      </c>
      <c r="P25" s="21">
        <v>3.0</v>
      </c>
      <c r="Q25" s="21">
        <v>1.0</v>
      </c>
      <c r="R25" s="21">
        <v>2.0</v>
      </c>
      <c r="S25" s="21">
        <v>3.0</v>
      </c>
    </row>
    <row r="26" ht="15.75" customHeight="1">
      <c r="A26" s="22" t="s">
        <v>5</v>
      </c>
      <c r="B26" s="23">
        <v>5.6</v>
      </c>
      <c r="C26" s="23">
        <v>5.0</v>
      </c>
      <c r="D26" s="23">
        <v>6.5</v>
      </c>
      <c r="E26" s="23">
        <v>3.6</v>
      </c>
      <c r="F26" s="23">
        <v>4.0</v>
      </c>
      <c r="G26" s="23">
        <v>4.0</v>
      </c>
      <c r="H26" s="23">
        <v>5.2</v>
      </c>
      <c r="I26" s="23">
        <v>4.0</v>
      </c>
      <c r="J26" s="23">
        <v>5.0</v>
      </c>
      <c r="K26" s="23">
        <v>6.5</v>
      </c>
      <c r="L26" s="23">
        <v>3.5</v>
      </c>
      <c r="M26" s="23">
        <v>4.5</v>
      </c>
      <c r="N26" s="10">
        <v>6.19</v>
      </c>
      <c r="O26" s="10">
        <v>7.39</v>
      </c>
      <c r="P26" s="10">
        <v>5.48</v>
      </c>
      <c r="Q26" s="10">
        <v>6.81</v>
      </c>
      <c r="R26" s="10">
        <v>7.1</v>
      </c>
      <c r="S26" s="10">
        <v>7.74</v>
      </c>
    </row>
    <row r="27" ht="15.75" customHeight="1">
      <c r="A27" s="22" t="s">
        <v>6</v>
      </c>
      <c r="B27" s="23">
        <v>39.0</v>
      </c>
      <c r="C27" s="23">
        <v>21.0</v>
      </c>
      <c r="D27" s="23">
        <v>42.0</v>
      </c>
      <c r="E27" s="23">
        <v>22.0</v>
      </c>
      <c r="F27" s="23">
        <v>24.0</v>
      </c>
      <c r="G27" s="23">
        <v>16.0</v>
      </c>
      <c r="H27" s="23">
        <v>42.0</v>
      </c>
      <c r="I27" s="23">
        <v>30.0</v>
      </c>
      <c r="J27" s="23">
        <v>46.0</v>
      </c>
      <c r="K27" s="23">
        <v>34.0</v>
      </c>
      <c r="L27" s="23">
        <v>18.0</v>
      </c>
      <c r="M27" s="23">
        <v>24.0</v>
      </c>
      <c r="N27" s="10">
        <v>50.0</v>
      </c>
      <c r="O27" s="10">
        <v>53.0</v>
      </c>
      <c r="P27" s="10">
        <v>59.0</v>
      </c>
      <c r="Q27" s="10">
        <v>102.0</v>
      </c>
      <c r="R27" s="10">
        <v>84.0</v>
      </c>
      <c r="S27" s="10">
        <v>123.0</v>
      </c>
    </row>
    <row r="28" ht="15.75" customHeight="1">
      <c r="A28" s="22" t="s">
        <v>7</v>
      </c>
      <c r="B28" s="23">
        <v>4.99</v>
      </c>
      <c r="C28" s="23">
        <v>4.57</v>
      </c>
      <c r="D28" s="23">
        <v>6.03</v>
      </c>
      <c r="E28" s="23">
        <v>4.6</v>
      </c>
      <c r="F28" s="23">
        <v>5.78</v>
      </c>
      <c r="G28" s="23">
        <v>9.07</v>
      </c>
      <c r="H28" s="23">
        <v>9.32</v>
      </c>
      <c r="I28" s="23">
        <v>3.58</v>
      </c>
      <c r="J28" s="23">
        <v>5.73</v>
      </c>
      <c r="K28" s="23">
        <v>8.44</v>
      </c>
      <c r="L28" s="23">
        <v>4.33</v>
      </c>
      <c r="M28" s="23">
        <v>5.9</v>
      </c>
      <c r="N28" s="10">
        <v>11.91</v>
      </c>
      <c r="O28" s="10">
        <v>17.8</v>
      </c>
      <c r="P28" s="10">
        <v>5.82</v>
      </c>
      <c r="Q28" s="10">
        <v>11.34</v>
      </c>
      <c r="R28" s="10">
        <v>11.31</v>
      </c>
      <c r="S28" s="10">
        <v>11.63</v>
      </c>
    </row>
    <row r="29" ht="15.75" customHeight="1">
      <c r="A29" s="22" t="s">
        <v>8</v>
      </c>
      <c r="B29" s="23">
        <v>4.97</v>
      </c>
      <c r="C29" s="23">
        <v>4.55</v>
      </c>
      <c r="D29" s="23">
        <v>5.99</v>
      </c>
      <c r="E29" s="23">
        <v>4.6</v>
      </c>
      <c r="F29" s="23">
        <v>5.77</v>
      </c>
      <c r="G29" s="23">
        <v>9.06</v>
      </c>
      <c r="H29" s="23">
        <v>9.31</v>
      </c>
      <c r="I29" s="23">
        <v>3.58</v>
      </c>
      <c r="J29" s="23">
        <v>5.73</v>
      </c>
      <c r="K29" s="23">
        <v>8.45</v>
      </c>
      <c r="L29" s="23">
        <v>4.31</v>
      </c>
      <c r="M29" s="23">
        <v>5.9</v>
      </c>
      <c r="N29" s="10">
        <v>11.9</v>
      </c>
      <c r="O29" s="10">
        <v>17.84</v>
      </c>
      <c r="P29" s="10">
        <v>5.8</v>
      </c>
      <c r="Q29" s="10">
        <v>11.34</v>
      </c>
      <c r="R29" s="10">
        <v>11.31</v>
      </c>
      <c r="S29" s="10">
        <v>11.62</v>
      </c>
    </row>
    <row r="30" ht="15.75" customHeight="1">
      <c r="A30" s="22" t="s">
        <v>9</v>
      </c>
      <c r="B30" s="23">
        <f t="shared" ref="B30:S30" si="13">B26/B27</f>
        <v>0.1435897436</v>
      </c>
      <c r="C30" s="23">
        <f t="shared" si="13"/>
        <v>0.2380952381</v>
      </c>
      <c r="D30" s="23">
        <f t="shared" si="13"/>
        <v>0.1547619048</v>
      </c>
      <c r="E30" s="23">
        <f t="shared" si="13"/>
        <v>0.1636363636</v>
      </c>
      <c r="F30" s="23">
        <f t="shared" si="13"/>
        <v>0.1666666667</v>
      </c>
      <c r="G30" s="23">
        <f t="shared" si="13"/>
        <v>0.25</v>
      </c>
      <c r="H30" s="23">
        <f t="shared" si="13"/>
        <v>0.1238095238</v>
      </c>
      <c r="I30" s="23">
        <f t="shared" si="13"/>
        <v>0.1333333333</v>
      </c>
      <c r="J30" s="23">
        <f t="shared" si="13"/>
        <v>0.1086956522</v>
      </c>
      <c r="K30" s="23">
        <f t="shared" si="13"/>
        <v>0.1911764706</v>
      </c>
      <c r="L30" s="23">
        <f t="shared" si="13"/>
        <v>0.1944444444</v>
      </c>
      <c r="M30" s="23">
        <f t="shared" si="13"/>
        <v>0.1875</v>
      </c>
      <c r="N30" s="24">
        <f t="shared" si="13"/>
        <v>0.1238</v>
      </c>
      <c r="O30" s="24">
        <f t="shared" si="13"/>
        <v>0.1394339623</v>
      </c>
      <c r="P30" s="24">
        <f t="shared" si="13"/>
        <v>0.09288135593</v>
      </c>
      <c r="Q30" s="24">
        <f t="shared" si="13"/>
        <v>0.06676470588</v>
      </c>
      <c r="R30" s="24">
        <f t="shared" si="13"/>
        <v>0.08452380952</v>
      </c>
      <c r="S30" s="24">
        <f t="shared" si="13"/>
        <v>0.06292682927</v>
      </c>
    </row>
    <row r="31" ht="15.75" customHeight="1">
      <c r="A31" s="22" t="s">
        <v>10</v>
      </c>
      <c r="B31" s="23">
        <f t="shared" ref="B31:S31" si="14"> 100 - (B29/B28)*100</f>
        <v>0.4008016032</v>
      </c>
      <c r="C31" s="23">
        <f t="shared" si="14"/>
        <v>0.4376367615</v>
      </c>
      <c r="D31" s="23">
        <f t="shared" si="14"/>
        <v>0.6633499171</v>
      </c>
      <c r="E31" s="23">
        <f t="shared" si="14"/>
        <v>0</v>
      </c>
      <c r="F31" s="23">
        <f t="shared" si="14"/>
        <v>0.1730103806</v>
      </c>
      <c r="G31" s="23">
        <f t="shared" si="14"/>
        <v>0.1102535832</v>
      </c>
      <c r="H31" s="23">
        <f t="shared" si="14"/>
        <v>0.1072961373</v>
      </c>
      <c r="I31" s="23">
        <f t="shared" si="14"/>
        <v>0</v>
      </c>
      <c r="J31" s="23">
        <f t="shared" si="14"/>
        <v>0</v>
      </c>
      <c r="K31" s="23">
        <f t="shared" si="14"/>
        <v>-0.1184834123</v>
      </c>
      <c r="L31" s="23">
        <f t="shared" si="14"/>
        <v>0.4618937644</v>
      </c>
      <c r="M31" s="23">
        <f t="shared" si="14"/>
        <v>0</v>
      </c>
      <c r="N31" s="24">
        <f t="shared" si="14"/>
        <v>0.08396305626</v>
      </c>
      <c r="O31" s="24">
        <f t="shared" si="14"/>
        <v>-0.2247191011</v>
      </c>
      <c r="P31" s="24">
        <f t="shared" si="14"/>
        <v>0.3436426117</v>
      </c>
      <c r="Q31" s="24">
        <f t="shared" si="14"/>
        <v>0</v>
      </c>
      <c r="R31" s="24">
        <f t="shared" si="14"/>
        <v>0</v>
      </c>
      <c r="S31" s="24">
        <f t="shared" si="14"/>
        <v>0.08598452279</v>
      </c>
    </row>
    <row r="32" ht="15.75" customHeight="1">
      <c r="A32" s="22" t="s">
        <v>11</v>
      </c>
      <c r="B32" s="25">
        <f t="shared" ref="B32:B33" si="15">(B30+C30+D30)/3</f>
        <v>0.1788156288</v>
      </c>
      <c r="C32" s="3"/>
      <c r="D32" s="4"/>
      <c r="E32" s="25">
        <f t="shared" ref="E32:E33" si="16">(E30+F30+G30)/3</f>
        <v>0.1934343434</v>
      </c>
      <c r="F32" s="3"/>
      <c r="G32" s="4"/>
      <c r="H32" s="25">
        <f t="shared" ref="H32:H33" si="17">(H30+I30+J30)/3</f>
        <v>0.1219461698</v>
      </c>
      <c r="I32" s="3"/>
      <c r="J32" s="4"/>
      <c r="K32" s="25">
        <f t="shared" ref="K32:K33" si="18">(K30+L30+M30)/3</f>
        <v>0.191040305</v>
      </c>
      <c r="L32" s="3"/>
      <c r="M32" s="4"/>
      <c r="N32" s="13">
        <f t="shared" ref="N32:N33" si="19">(N30+O30+P30)/3</f>
        <v>0.1187051061</v>
      </c>
      <c r="O32" s="3"/>
      <c r="P32" s="4"/>
      <c r="Q32" s="13">
        <f t="shared" ref="Q32:Q33" si="20">(Q30+R30+S30)/3</f>
        <v>0.07140511489</v>
      </c>
      <c r="R32" s="3"/>
      <c r="S32" s="4"/>
    </row>
    <row r="33" ht="15.75" customHeight="1">
      <c r="A33" s="22" t="s">
        <v>12</v>
      </c>
      <c r="B33" s="25">
        <f t="shared" si="15"/>
        <v>0.5005960939</v>
      </c>
      <c r="C33" s="3"/>
      <c r="D33" s="4"/>
      <c r="E33" s="25">
        <f t="shared" si="16"/>
        <v>0.09442132129</v>
      </c>
      <c r="F33" s="3"/>
      <c r="G33" s="4"/>
      <c r="H33" s="25">
        <f t="shared" si="17"/>
        <v>0.03576537911</v>
      </c>
      <c r="I33" s="3"/>
      <c r="J33" s="4"/>
      <c r="K33" s="25">
        <f t="shared" si="18"/>
        <v>0.1144701174</v>
      </c>
      <c r="L33" s="3"/>
      <c r="M33" s="4"/>
      <c r="N33" s="13">
        <f t="shared" si="19"/>
        <v>0.06762885561</v>
      </c>
      <c r="O33" s="3"/>
      <c r="P33" s="4"/>
      <c r="Q33" s="13">
        <f t="shared" si="20"/>
        <v>0.0286615076</v>
      </c>
      <c r="R33" s="3"/>
      <c r="S33" s="4"/>
    </row>
    <row r="34" ht="15.75" customHeight="1">
      <c r="A34" s="1"/>
    </row>
    <row r="35" ht="15.75" customHeight="1">
      <c r="A35" s="26"/>
    </row>
    <row r="36" ht="15.75" customHeight="1">
      <c r="A36" s="26"/>
    </row>
    <row r="37" ht="15.75" customHeight="1">
      <c r="A37" s="26"/>
    </row>
    <row r="38" ht="15.75" customHeight="1">
      <c r="A38" s="26"/>
    </row>
    <row r="39" ht="15.75" customHeight="1">
      <c r="A39" s="26"/>
    </row>
    <row r="40" ht="15.75" customHeight="1">
      <c r="A40" s="26"/>
    </row>
    <row r="41" ht="15.75" customHeight="1">
      <c r="A41" s="26"/>
      <c r="W41" s="27"/>
      <c r="X41" s="27"/>
    </row>
    <row r="42" ht="15.75" customHeight="1">
      <c r="A42" s="26"/>
      <c r="W42" s="5"/>
      <c r="X42" s="5"/>
    </row>
    <row r="43" ht="15.75" customHeight="1">
      <c r="A43" s="26"/>
      <c r="W43" s="5"/>
      <c r="X43" s="5"/>
    </row>
    <row r="44" ht="15.75" customHeight="1">
      <c r="A44" s="2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E33:G33"/>
    <mergeCell ref="H33:J33"/>
    <mergeCell ref="K33:M33"/>
    <mergeCell ref="N33:P33"/>
    <mergeCell ref="B32:D32"/>
    <mergeCell ref="E32:G32"/>
    <mergeCell ref="H32:J32"/>
    <mergeCell ref="K32:M32"/>
    <mergeCell ref="N32:P32"/>
    <mergeCell ref="Q32:S32"/>
    <mergeCell ref="B33:D33"/>
    <mergeCell ref="Q33:S33"/>
    <mergeCell ref="H10:J10"/>
    <mergeCell ref="K10:M10"/>
    <mergeCell ref="B1:M1"/>
    <mergeCell ref="B2:D2"/>
    <mergeCell ref="E2:G2"/>
    <mergeCell ref="H2:J2"/>
    <mergeCell ref="K2:M2"/>
    <mergeCell ref="B10:D10"/>
    <mergeCell ref="E10:G10"/>
    <mergeCell ref="H13:J13"/>
    <mergeCell ref="K13:M13"/>
    <mergeCell ref="B11:D11"/>
    <mergeCell ref="E11:G11"/>
    <mergeCell ref="H11:J11"/>
    <mergeCell ref="K11:M11"/>
    <mergeCell ref="B12:M12"/>
    <mergeCell ref="B13:D13"/>
    <mergeCell ref="E13:G13"/>
    <mergeCell ref="N24:P24"/>
    <mergeCell ref="Q24:S24"/>
    <mergeCell ref="K22:M22"/>
    <mergeCell ref="B23:M23"/>
    <mergeCell ref="N23:S23"/>
    <mergeCell ref="B24:D24"/>
    <mergeCell ref="E24:G24"/>
    <mergeCell ref="H24:J24"/>
    <mergeCell ref="K24:M24"/>
    <mergeCell ref="B21:D21"/>
    <mergeCell ref="E21:G21"/>
    <mergeCell ref="H21:J21"/>
    <mergeCell ref="K21:M21"/>
    <mergeCell ref="B22:D22"/>
    <mergeCell ref="E22:G22"/>
    <mergeCell ref="H22:J22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1.0"/>
    <col customWidth="1" min="3" max="4" width="9.43"/>
    <col customWidth="1" min="5" max="5" width="10.43"/>
    <col customWidth="1" min="6" max="7" width="9.43"/>
    <col customWidth="1" min="8" max="8" width="10.29"/>
    <col customWidth="1" min="9" max="10" width="9.43"/>
    <col customWidth="1" min="11" max="11" width="10.29"/>
    <col customWidth="1" min="12" max="13" width="9.43"/>
  </cols>
  <sheetData>
    <row r="1">
      <c r="A1" s="28"/>
      <c r="B1" s="29" t="s">
        <v>18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B2" s="30" t="s">
        <v>1</v>
      </c>
      <c r="C2" s="3"/>
      <c r="D2" s="4"/>
      <c r="E2" s="30" t="s">
        <v>2</v>
      </c>
      <c r="F2" s="3"/>
      <c r="G2" s="4"/>
      <c r="H2" s="30" t="s">
        <v>3</v>
      </c>
      <c r="I2" s="3"/>
      <c r="J2" s="4"/>
      <c r="K2" s="30" t="s">
        <v>4</v>
      </c>
      <c r="L2" s="3"/>
      <c r="M2" s="4"/>
    </row>
    <row r="3">
      <c r="B3" s="31">
        <v>1.0</v>
      </c>
      <c r="C3" s="31">
        <v>2.0</v>
      </c>
      <c r="D3" s="31">
        <v>3.0</v>
      </c>
      <c r="E3" s="31">
        <v>1.0</v>
      </c>
      <c r="F3" s="31">
        <v>2.0</v>
      </c>
      <c r="G3" s="31">
        <v>3.0</v>
      </c>
      <c r="H3" s="31">
        <v>1.0</v>
      </c>
      <c r="I3" s="31">
        <v>2.0</v>
      </c>
      <c r="J3" s="31">
        <v>3.0</v>
      </c>
      <c r="K3" s="31">
        <v>1.0</v>
      </c>
      <c r="L3" s="31">
        <v>2.0</v>
      </c>
      <c r="M3" s="31">
        <v>3.0</v>
      </c>
    </row>
    <row r="4">
      <c r="A4" s="32" t="s">
        <v>19</v>
      </c>
      <c r="B4" s="33">
        <v>1.8381</v>
      </c>
      <c r="C4" s="33">
        <v>2.801</v>
      </c>
      <c r="D4" s="33">
        <v>3.7163</v>
      </c>
      <c r="E4" s="33">
        <v>0.4955</v>
      </c>
      <c r="F4" s="33">
        <v>1.5472</v>
      </c>
      <c r="G4" s="33">
        <v>2.0896</v>
      </c>
      <c r="H4" s="33">
        <v>1.6275</v>
      </c>
      <c r="I4" s="33">
        <v>2.65</v>
      </c>
      <c r="J4" s="33">
        <v>3.2905</v>
      </c>
      <c r="K4" s="33">
        <v>2.0945</v>
      </c>
      <c r="L4" s="33">
        <v>3.488</v>
      </c>
      <c r="M4" s="33">
        <v>4.667</v>
      </c>
    </row>
    <row r="5">
      <c r="A5" s="32" t="s">
        <v>20</v>
      </c>
      <c r="B5" s="33">
        <v>0.5</v>
      </c>
      <c r="C5" s="33">
        <v>0.8</v>
      </c>
      <c r="D5" s="33">
        <v>1.2</v>
      </c>
      <c r="E5" s="33">
        <v>0.12</v>
      </c>
      <c r="F5" s="33">
        <v>0.4</v>
      </c>
      <c r="G5" s="33">
        <v>0.5</v>
      </c>
      <c r="H5" s="33">
        <v>0.4</v>
      </c>
      <c r="I5" s="33">
        <v>0.8</v>
      </c>
      <c r="J5" s="33">
        <v>1.1</v>
      </c>
      <c r="K5" s="33">
        <v>0.5</v>
      </c>
      <c r="L5" s="33">
        <v>1.1</v>
      </c>
      <c r="M5" s="33">
        <v>1.2</v>
      </c>
    </row>
    <row r="6">
      <c r="A6" s="32" t="s">
        <v>21</v>
      </c>
      <c r="B6" s="33">
        <v>1.076</v>
      </c>
      <c r="C6" s="33">
        <v>1.833</v>
      </c>
      <c r="D6" s="33">
        <v>2.6318</v>
      </c>
      <c r="E6" s="33">
        <v>0.2288</v>
      </c>
      <c r="F6" s="33">
        <v>0.886</v>
      </c>
      <c r="G6" s="33">
        <v>1.1405</v>
      </c>
      <c r="H6" s="33">
        <v>0.8602</v>
      </c>
      <c r="I6" s="33">
        <v>1.7666</v>
      </c>
      <c r="J6" s="33">
        <v>2.447</v>
      </c>
      <c r="K6" s="33">
        <v>1.076</v>
      </c>
      <c r="L6" s="33">
        <v>2.5608</v>
      </c>
      <c r="M6" s="33">
        <v>2.8902</v>
      </c>
    </row>
    <row r="7">
      <c r="A7" s="32" t="s">
        <v>22</v>
      </c>
      <c r="B7" s="33">
        <v>0.576</v>
      </c>
      <c r="C7" s="33">
        <v>1.033</v>
      </c>
      <c r="D7" s="33">
        <v>1.4318</v>
      </c>
      <c r="E7" s="33">
        <v>0.1088</v>
      </c>
      <c r="F7" s="33">
        <v>0.486</v>
      </c>
      <c r="G7" s="33">
        <v>0.6405</v>
      </c>
      <c r="H7" s="33">
        <v>0.4602</v>
      </c>
      <c r="I7" s="33">
        <v>0.9666</v>
      </c>
      <c r="J7" s="33">
        <v>1.347</v>
      </c>
      <c r="K7" s="33">
        <v>0.576</v>
      </c>
      <c r="L7" s="33">
        <v>1.4608</v>
      </c>
      <c r="M7" s="33">
        <v>1.6902</v>
      </c>
    </row>
    <row r="8">
      <c r="A8" s="32" t="s">
        <v>23</v>
      </c>
      <c r="B8" s="33">
        <v>1.338</v>
      </c>
      <c r="C8" s="33">
        <v>2.001</v>
      </c>
      <c r="D8" s="33">
        <v>1.0845</v>
      </c>
      <c r="E8" s="33">
        <v>0.3755</v>
      </c>
      <c r="F8" s="33">
        <v>1.1472</v>
      </c>
      <c r="G8" s="33">
        <v>1.5896</v>
      </c>
      <c r="H8" s="33">
        <v>1.2275</v>
      </c>
      <c r="I8" s="33">
        <v>1.85</v>
      </c>
      <c r="J8" s="33">
        <v>2.1905</v>
      </c>
      <c r="K8" s="33">
        <v>1.5945</v>
      </c>
      <c r="L8" s="33">
        <v>2.388</v>
      </c>
      <c r="M8" s="33">
        <v>3.467</v>
      </c>
    </row>
    <row r="9">
      <c r="A9" s="32" t="s">
        <v>24</v>
      </c>
      <c r="B9" s="33">
        <v>3.2</v>
      </c>
      <c r="C9" s="33">
        <v>2.71</v>
      </c>
      <c r="D9" s="33">
        <v>2.6</v>
      </c>
      <c r="E9" s="33">
        <v>4.55</v>
      </c>
      <c r="F9" s="33">
        <v>3.18</v>
      </c>
      <c r="G9" s="33">
        <v>3.26</v>
      </c>
      <c r="H9" s="33">
        <v>3.53</v>
      </c>
      <c r="I9" s="33">
        <v>2.74</v>
      </c>
      <c r="J9" s="33">
        <v>1.94</v>
      </c>
      <c r="K9" s="33">
        <v>3.63</v>
      </c>
      <c r="L9" s="33">
        <v>2.38</v>
      </c>
      <c r="M9" s="33">
        <v>2.76</v>
      </c>
    </row>
    <row r="10">
      <c r="A10" s="32" t="s">
        <v>25</v>
      </c>
      <c r="B10" s="34" t="s">
        <v>26</v>
      </c>
      <c r="C10" s="34" t="s">
        <v>26</v>
      </c>
      <c r="D10" s="34" t="s">
        <v>26</v>
      </c>
      <c r="E10" s="34" t="s">
        <v>26</v>
      </c>
      <c r="F10" s="34" t="s">
        <v>26</v>
      </c>
      <c r="G10" s="34" t="s">
        <v>26</v>
      </c>
      <c r="H10" s="34" t="s">
        <v>26</v>
      </c>
      <c r="I10" s="34" t="s">
        <v>26</v>
      </c>
      <c r="J10" s="34" t="s">
        <v>26</v>
      </c>
      <c r="K10" s="34" t="s">
        <v>26</v>
      </c>
      <c r="L10" s="34" t="s">
        <v>26</v>
      </c>
      <c r="M10" s="34" t="s">
        <v>26</v>
      </c>
    </row>
    <row r="11">
      <c r="A11" s="32" t="s">
        <v>27</v>
      </c>
      <c r="B11" s="33">
        <v>-41.461</v>
      </c>
      <c r="C11" s="33">
        <v>-34.56</v>
      </c>
      <c r="D11" s="33">
        <v>-29.18</v>
      </c>
      <c r="E11" s="33">
        <v>-53.82</v>
      </c>
      <c r="F11" s="33">
        <v>-42.73</v>
      </c>
      <c r="G11" s="33">
        <v>-45.42</v>
      </c>
      <c r="H11" s="33">
        <v>-47.14</v>
      </c>
      <c r="I11" s="33">
        <v>-33.33</v>
      </c>
      <c r="J11" s="33">
        <v>-25.63</v>
      </c>
      <c r="K11" s="33">
        <v>-48.62</v>
      </c>
      <c r="L11" s="33">
        <v>-26.58</v>
      </c>
      <c r="M11" s="33">
        <v>-38.07</v>
      </c>
    </row>
    <row r="12">
      <c r="A12" s="32" t="s">
        <v>28</v>
      </c>
      <c r="B12" s="33">
        <v>1.373</v>
      </c>
      <c r="C12" s="33">
        <v>1.399</v>
      </c>
      <c r="D12" s="33">
        <v>3.426</v>
      </c>
      <c r="E12" s="33">
        <v>1.319</v>
      </c>
      <c r="F12" s="33">
        <v>1.348</v>
      </c>
      <c r="G12" s="33">
        <v>1.314</v>
      </c>
      <c r="H12" s="33">
        <v>1.325</v>
      </c>
      <c r="I12" s="33">
        <v>1.432</v>
      </c>
      <c r="J12" s="33">
        <v>1.502</v>
      </c>
      <c r="K12" s="33">
        <v>1.313</v>
      </c>
      <c r="L12" s="33">
        <v>1.46</v>
      </c>
      <c r="M12" s="33">
        <v>1.346</v>
      </c>
    </row>
    <row r="13">
      <c r="A13" s="1"/>
      <c r="B13" s="35" t="s">
        <v>29</v>
      </c>
      <c r="C13" s="3"/>
      <c r="D13" s="3"/>
      <c r="E13" s="3"/>
      <c r="F13" s="3"/>
      <c r="G13" s="4"/>
    </row>
    <row r="14">
      <c r="A14" s="5"/>
      <c r="B14" s="36" t="s">
        <v>16</v>
      </c>
      <c r="C14" s="3"/>
      <c r="D14" s="4"/>
      <c r="E14" s="36" t="s">
        <v>17</v>
      </c>
      <c r="F14" s="3"/>
      <c r="G14" s="4"/>
    </row>
    <row r="15">
      <c r="A15" s="7"/>
      <c r="B15" s="8">
        <v>1.0</v>
      </c>
      <c r="C15" s="8">
        <v>2.0</v>
      </c>
      <c r="D15" s="8">
        <v>3.0</v>
      </c>
      <c r="E15" s="8">
        <v>1.0</v>
      </c>
      <c r="F15" s="8">
        <v>2.0</v>
      </c>
      <c r="G15" s="8">
        <v>3.0</v>
      </c>
      <c r="H15" s="27"/>
      <c r="I15" s="27"/>
      <c r="J15" s="27"/>
      <c r="K15" s="27"/>
      <c r="L15" s="27"/>
      <c r="M15" s="27"/>
    </row>
    <row r="16">
      <c r="A16" s="37" t="s">
        <v>19</v>
      </c>
      <c r="B16" s="10">
        <v>8.387</v>
      </c>
      <c r="C16" s="10">
        <v>6.2696</v>
      </c>
      <c r="D16" s="10">
        <v>7.2731</v>
      </c>
      <c r="E16" s="10">
        <v>7.707</v>
      </c>
      <c r="F16" s="10">
        <v>7.1256</v>
      </c>
      <c r="G16" s="10">
        <v>6.4049</v>
      </c>
      <c r="H16" s="38"/>
      <c r="K16" s="38"/>
    </row>
    <row r="17">
      <c r="A17" s="39" t="s">
        <v>30</v>
      </c>
      <c r="B17" s="10">
        <v>3.745</v>
      </c>
      <c r="C17" s="10">
        <v>2.801</v>
      </c>
      <c r="D17" s="10">
        <v>3.275</v>
      </c>
      <c r="E17" s="10">
        <v>3.506</v>
      </c>
      <c r="F17" s="10">
        <v>3.171</v>
      </c>
      <c r="G17" s="10">
        <v>2.839</v>
      </c>
      <c r="H17" s="38"/>
      <c r="I17" s="38"/>
      <c r="J17" s="38"/>
      <c r="K17" s="38"/>
      <c r="L17" s="38"/>
      <c r="M17" s="38"/>
    </row>
    <row r="18">
      <c r="A18" s="37" t="s">
        <v>21</v>
      </c>
      <c r="B18" s="10">
        <v>8.118</v>
      </c>
      <c r="C18" s="10">
        <v>6.0404</v>
      </c>
      <c r="D18" s="10">
        <v>6.9976</v>
      </c>
      <c r="E18" s="10">
        <v>7.5247</v>
      </c>
      <c r="F18" s="10">
        <v>6.9375</v>
      </c>
      <c r="G18" s="10">
        <v>6.2255</v>
      </c>
      <c r="H18" s="38"/>
      <c r="I18" s="38"/>
      <c r="J18" s="38"/>
      <c r="K18" s="38"/>
      <c r="L18" s="38"/>
      <c r="M18" s="38"/>
    </row>
    <row r="19">
      <c r="A19" s="37" t="s">
        <v>22</v>
      </c>
      <c r="B19" s="10">
        <v>4.373</v>
      </c>
      <c r="C19" s="10">
        <v>3.2394</v>
      </c>
      <c r="D19" s="10">
        <v>3.7226</v>
      </c>
      <c r="E19" s="10">
        <v>4.0187</v>
      </c>
      <c r="F19" s="10">
        <v>3.7665</v>
      </c>
      <c r="G19" s="10">
        <v>3.3865</v>
      </c>
      <c r="H19" s="38"/>
      <c r="I19" s="38"/>
      <c r="J19" s="38"/>
      <c r="K19" s="38"/>
      <c r="L19" s="38"/>
      <c r="M19" s="38"/>
    </row>
    <row r="20">
      <c r="A20" s="37" t="s">
        <v>23</v>
      </c>
      <c r="B20" s="10">
        <v>4.642</v>
      </c>
      <c r="C20" s="10">
        <v>3.4686</v>
      </c>
      <c r="D20" s="10">
        <v>3.9981</v>
      </c>
      <c r="E20" s="10">
        <v>4.201</v>
      </c>
      <c r="F20" s="10">
        <v>3.9546</v>
      </c>
      <c r="G20" s="10">
        <v>3.5659</v>
      </c>
      <c r="H20" s="38"/>
      <c r="I20" s="38"/>
      <c r="J20" s="38"/>
      <c r="K20" s="38"/>
      <c r="L20" s="38"/>
      <c r="M20" s="38"/>
    </row>
    <row r="21">
      <c r="A21" s="37" t="s">
        <v>24</v>
      </c>
      <c r="B21" s="10">
        <v>1.91</v>
      </c>
      <c r="C21" s="10">
        <v>1.93</v>
      </c>
      <c r="D21" s="10">
        <v>1.95</v>
      </c>
      <c r="E21" s="10">
        <v>1.91</v>
      </c>
      <c r="F21" s="10">
        <v>1.9</v>
      </c>
      <c r="G21" s="10">
        <v>1.9</v>
      </c>
      <c r="H21" s="38"/>
      <c r="I21" s="38"/>
      <c r="J21" s="38"/>
      <c r="K21" s="38"/>
      <c r="L21" s="38"/>
      <c r="M21" s="38"/>
    </row>
    <row r="22">
      <c r="A22" s="37" t="s">
        <v>25</v>
      </c>
      <c r="B22" s="12" t="s">
        <v>26</v>
      </c>
      <c r="C22" s="12" t="s">
        <v>26</v>
      </c>
      <c r="D22" s="12" t="s">
        <v>26</v>
      </c>
      <c r="E22" s="12" t="s">
        <v>26</v>
      </c>
      <c r="F22" s="12" t="s">
        <v>26</v>
      </c>
      <c r="G22" s="12" t="s">
        <v>26</v>
      </c>
      <c r="H22" s="38"/>
      <c r="I22" s="38"/>
      <c r="J22" s="38"/>
      <c r="K22" s="38"/>
      <c r="L22" s="38"/>
      <c r="M22" s="38"/>
    </row>
    <row r="23">
      <c r="A23" s="37" t="s">
        <v>27</v>
      </c>
      <c r="B23" s="10">
        <v>-3.2</v>
      </c>
      <c r="C23" s="10">
        <v>-3.65</v>
      </c>
      <c r="D23" s="10">
        <v>-3.75</v>
      </c>
      <c r="E23" s="10">
        <v>-2.36</v>
      </c>
      <c r="F23" s="10">
        <v>-2.63</v>
      </c>
      <c r="G23" s="10">
        <v>-2.8</v>
      </c>
      <c r="H23" s="38"/>
      <c r="I23" s="38"/>
      <c r="J23" s="38"/>
      <c r="K23" s="38"/>
      <c r="L23" s="38"/>
      <c r="M23" s="38"/>
    </row>
    <row r="24">
      <c r="A24" s="37" t="s">
        <v>28</v>
      </c>
      <c r="B24" s="10">
        <v>1.806</v>
      </c>
      <c r="C24" s="10">
        <v>1.807</v>
      </c>
      <c r="D24" s="10">
        <v>1.819</v>
      </c>
      <c r="E24" s="10">
        <v>1.834</v>
      </c>
      <c r="F24" s="10">
        <v>1.801</v>
      </c>
      <c r="G24" s="10">
        <v>1.796</v>
      </c>
      <c r="H24" s="38"/>
      <c r="I24" s="38"/>
      <c r="J24" s="38"/>
      <c r="K24" s="38"/>
      <c r="L24" s="38"/>
      <c r="M24" s="38"/>
    </row>
    <row r="25">
      <c r="H25" s="38"/>
      <c r="I25" s="38"/>
      <c r="J25" s="38"/>
      <c r="K25" s="38"/>
      <c r="L25" s="38"/>
      <c r="M25" s="38"/>
    </row>
    <row r="26">
      <c r="H26" s="38"/>
      <c r="I26" s="38"/>
      <c r="J26" s="38"/>
      <c r="K26" s="38"/>
      <c r="L26" s="38"/>
      <c r="M26" s="38"/>
    </row>
    <row r="28">
      <c r="H28" s="26"/>
      <c r="I28" s="26"/>
      <c r="J28" s="26"/>
      <c r="K28" s="27"/>
      <c r="L28" s="27"/>
      <c r="M28" s="27"/>
    </row>
    <row r="29">
      <c r="H29" s="26"/>
      <c r="I29" s="26"/>
      <c r="J29" s="26"/>
      <c r="K29" s="38"/>
    </row>
    <row r="30">
      <c r="H30" s="26"/>
      <c r="I30" s="26"/>
      <c r="J30" s="26"/>
      <c r="K30" s="38"/>
      <c r="L30" s="38"/>
      <c r="M30" s="38"/>
    </row>
    <row r="31">
      <c r="H31" s="26"/>
      <c r="I31" s="26"/>
      <c r="J31" s="26"/>
      <c r="K31" s="38"/>
      <c r="L31" s="38"/>
      <c r="M31" s="38"/>
    </row>
    <row r="32">
      <c r="H32" s="26"/>
      <c r="I32" s="26"/>
      <c r="J32" s="26"/>
      <c r="K32" s="38"/>
      <c r="L32" s="38"/>
      <c r="M32" s="38"/>
    </row>
    <row r="33">
      <c r="H33" s="26"/>
      <c r="I33" s="26"/>
      <c r="J33" s="26"/>
      <c r="K33" s="38"/>
      <c r="L33" s="38"/>
      <c r="M33" s="38"/>
    </row>
    <row r="34">
      <c r="H34" s="26"/>
      <c r="I34" s="26"/>
      <c r="J34" s="26"/>
      <c r="K34" s="38"/>
      <c r="L34" s="38"/>
      <c r="M34" s="38"/>
    </row>
    <row r="35">
      <c r="H35" s="26"/>
      <c r="I35" s="26"/>
      <c r="J35" s="26"/>
      <c r="K35" s="5"/>
      <c r="L35" s="5"/>
      <c r="M35" s="5"/>
    </row>
    <row r="36">
      <c r="H36" s="26"/>
      <c r="I36" s="26"/>
      <c r="J36" s="26"/>
      <c r="K36" s="5"/>
      <c r="L36" s="5"/>
      <c r="M36" s="5"/>
    </row>
    <row r="37">
      <c r="H37" s="26"/>
      <c r="I37" s="26"/>
      <c r="J37" s="26"/>
      <c r="K37" s="38"/>
    </row>
    <row r="38">
      <c r="H38" s="26"/>
      <c r="I38" s="26"/>
      <c r="J38" s="26"/>
      <c r="K38" s="38"/>
    </row>
  </sheetData>
  <mergeCells count="14">
    <mergeCell ref="E14:G14"/>
    <mergeCell ref="H16:J16"/>
    <mergeCell ref="K16:M16"/>
    <mergeCell ref="K29:M29"/>
    <mergeCell ref="K37:M37"/>
    <mergeCell ref="K38:M38"/>
    <mergeCell ref="B1:M1"/>
    <mergeCell ref="B2:D2"/>
    <mergeCell ref="E2:G2"/>
    <mergeCell ref="H2:J2"/>
    <mergeCell ref="K2:M2"/>
    <mergeCell ref="B13:G13"/>
    <mergeCell ref="B14:D14"/>
    <mergeCell ref="A1:A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3.86"/>
    <col customWidth="1" min="3" max="3" width="12.71"/>
    <col customWidth="1" min="5" max="5" width="28.14"/>
    <col customWidth="1" min="6" max="9" width="10.29"/>
  </cols>
  <sheetData>
    <row r="1">
      <c r="A1" s="40"/>
      <c r="B1" s="41" t="s">
        <v>31</v>
      </c>
      <c r="C1" s="4"/>
      <c r="E1" s="40"/>
      <c r="F1" s="41" t="s">
        <v>32</v>
      </c>
      <c r="G1" s="3"/>
      <c r="H1" s="3"/>
      <c r="I1" s="4"/>
    </row>
    <row r="2">
      <c r="A2" s="42"/>
      <c r="B2" s="43" t="s">
        <v>16</v>
      </c>
      <c r="C2" s="43" t="s">
        <v>17</v>
      </c>
      <c r="E2" s="42"/>
      <c r="F2" s="43" t="s">
        <v>1</v>
      </c>
      <c r="G2" s="43" t="s">
        <v>2</v>
      </c>
      <c r="H2" s="43" t="s">
        <v>3</v>
      </c>
      <c r="I2" s="43" t="s">
        <v>4</v>
      </c>
    </row>
    <row r="3">
      <c r="A3" s="43" t="s">
        <v>9</v>
      </c>
      <c r="B3" s="24">
        <f>10/75</f>
        <v>0.1333333333</v>
      </c>
      <c r="C3" s="24">
        <f>10/147</f>
        <v>0.06802721088</v>
      </c>
      <c r="E3" s="43" t="s">
        <v>9</v>
      </c>
      <c r="F3" s="24">
        <f>10/61</f>
        <v>0.1639344262</v>
      </c>
      <c r="G3" s="24">
        <f>10/41</f>
        <v>0.243902439</v>
      </c>
      <c r="H3" s="24">
        <f>10/80</f>
        <v>0.125</v>
      </c>
      <c r="I3" s="24">
        <f>10/81</f>
        <v>0.1234567901</v>
      </c>
    </row>
  </sheetData>
  <mergeCells count="2">
    <mergeCell ref="B1:C1"/>
    <mergeCell ref="F1:I1"/>
  </mergeCells>
  <printOptions/>
  <pageMargins bottom="0.787401575" footer="0.0" header="0.0" left="0.511811024" right="0.511811024" top="0.78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2023-07-03T17:24:09Z</dcterms:created>
  <dc:creator>User</dc:creator>
</cp:coreProperties>
</file>